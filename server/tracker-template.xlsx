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клики" sheetId="1" state="visible" r:id="rId3"/>
    <sheet name="Статистика" sheetId="2" state="visible" r:id="rId4"/>
    <sheet name="List CVs" sheetId="3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<sst xmlns="http://schemas.openxmlformats.org/spreadsheetml/2006/main" count="37" uniqueCount="33">
  <si>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Дата отклика</t>
  </si>
  <si>
    <t xml:space="preserve">Компания</t>
  </si>
  <si>
    <t xml:space="preserve">Вакансия</t>
  </si>
  <si>
    <t xml:space="preserve">Ссылка</t>
  </si>
  <si>
    <t xml:space="preserve">Версия CV</t>
  </si>
  <si>
    <t xml:space="preserve">Источник</t>
  </si>
  <si>
    <t xml:space="preserve">Ответ</t>
  </si>
  <si>
    <t xml:space="preserve">Дата ответа</t>
  </si>
  <si>
    <t xml:space="preserve">Интервью</t>
  </si>
  <si>
    <t xml:space="preserve">Второй этап</t>
  </si>
  <si>
    <t xml:space="preserve">Оффер</t>
  </si>
  <si>
    <t xml:space="preserve">Заметки</t>
  </si>
  <si>
    <t xml:space="preserve">2026-07-15</t>
  </si>
  <si>
    <t xml:space="preserve">Acme Analytics (ПРИМЕР — удали строку)</t>
  </si>
  <si>
    <t xml:space="preserve">Senior Power BI Developer</t>
  </si>
  <si>
    <t xml:space="preserve">https://…</t>
  </si>
  <si>
    <t xml:space="preserve">CV1</t>
  </si>
  <si>
    <t xml:space="preserve">LinkedIn</t>
  </si>
  <si>
    <t xml:space="preserve">Да</t>
  </si>
  <si>
    <t xml:space="preserve">2026-07-18</t>
  </si>
  <si>
    <t xml:space="preserve">Нет</t>
  </si>
  <si>
    <t xml:space="preserve">пример формата</t>
  </si>
  <si>
    <t xml:space="preserve">Метрика</t>
  </si>
  <si>
    <t xml:space="preserve">CV1 (BI)</t>
  </si>
  <si>
    <t xml:space="preserve">CV3 (BI + bridge summary)</t>
  </si>
  <si>
    <t xml:space="preserve">CV2 (Consultant)</t>
  </si>
  <si>
    <t xml:space="preserve">Всего</t>
  </si>
  <si>
    <t xml:space="preserve">Отправлено</t>
  </si>
  <si>
    <t xml:space="preserve">Ответов</t>
  </si>
  <si>
    <t xml:space="preserve">Response rate</t>
  </si>
  <si>
    <t xml:space="preserve">Interview rate</t>
  </si>
  <si>
    <t xml:space="preserve">Офферы</t>
  </si>
  <si>
    <t xml:space="preserve">Дизайн эксперимента: BI-вакансии — чередуй CV1 и CV3 (чистый тест summary на одном пуле). Consultant/presales-вакансии — только CV2. Выводы по паре CV1/CV3 — не раньше ~35 откликов на каждую; по CV2 — смотри абсолютные ставки.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</si>
</sst>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18</v>
      </c>
      <c r="J2" s="2" t="s">
        <v>20</v>
      </c>
      <c r="K2" s="2" t="s">
        <v>20</v>
      </c>
      <c r="L2" s="2" t="s">
        <v>21</v>
      </c>
    </row>
  </sheetData>
  <dataValidations count="2">
    <dataValidation allowBlank="true" errorStyle="stop" operator="between" showDropDown="false" showErrorMessage="false" showInputMessage="false" sqref="E2:E500" type="list">
      <formula1>"CV1,CV2,CV3"</formula1>
      <formula2>0</formula2>
    </dataValidation>
    <dataValidation allowBlank="true" errorStyle="stop" operator="between" showDropDown="false" showErrorMessage="false" showInputMessage="false" sqref="G2:G500 I2:K50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customFormat="false" ht="15" hidden="false" customHeight="false" outlineLevel="0" collapsed="false">
      <c r="A2" s="4" t="s">
        <v>27</v>
      </c>
      <c r="B2" s="4" t="n">
        <f aca="false">COUNTIFS(Отклики!$E:$E,"CV1")</f>
        <v>1</v>
      </c>
      <c r="C2" s="4" t="n">
        <f aca="false">COUNTIFS(Отклики!$E:$E,"CV3")</f>
        <v>0</v>
      </c>
      <c r="D2" s="4" t="n">
        <f aca="false">COUNTIFS(Отклики!$E:$E,"CV2")</f>
        <v>0</v>
      </c>
      <c r="E2" s="4" t="n">
        <f aca="false">B2+C2+D2</f>
        <v>1</v>
      </c>
    </row>
    <row r="3" customFormat="false" ht="15" hidden="false" customHeight="false" outlineLevel="0" collapsed="false">
      <c r="A3" s="4" t="s">
        <v>28</v>
      </c>
      <c r="B3" s="4" t="n">
        <f aca="false">COUNTIFS(Отклики!$E:$E,"CV1",Отклики!$G:$G,"Да")</f>
        <v>1</v>
      </c>
      <c r="C3" s="4" t="n">
        <f aca="false">COUNTIFS(Отклики!$E:$E,"CV3",Отклики!$G:$G,"Да")</f>
        <v>0</v>
      </c>
      <c r="D3" s="4" t="n">
        <f aca="false">COUNTIFS(Отклики!$E:$E,"CV2",Отклики!$G:$G,"Да")</f>
        <v>0</v>
      </c>
      <c r="E3" s="4" t="n">
        <f aca="false">B3+C3+D3</f>
        <v>1</v>
      </c>
    </row>
    <row r="4" customFormat="false" ht="15" hidden="false" customHeight="false" outlineLevel="0" collapsed="false">
      <c r="A4" s="4" t="s">
        <v>29</v>
      </c>
      <c r="B4" s="5" t="n">
        <f aca="false">IF(B2=0,0,B3/B2)</f>
        <v>1</v>
      </c>
      <c r="C4" s="5" t="n">
        <f aca="false">IF(C2=0,0,C3/C2)</f>
        <v>0</v>
      </c>
      <c r="D4" s="5" t="n">
        <f aca="false">IF(D2=0,0,D3/D2)</f>
        <v>0</v>
      </c>
      <c r="E4" s="5" t="n">
        <f aca="false">IF(E2=0,0,E3/E2)</f>
        <v>1</v>
      </c>
    </row>
    <row r="5" customFormat="false" ht="15" hidden="false" customHeight="false" outlineLevel="0" collapsed="false">
      <c r="A5" s="4" t="s">
        <v>8</v>
      </c>
      <c r="B5" s="4" t="n">
        <f aca="false">COUNTIFS(Отклики!$E:$E,"CV1",Отклики!$I:$I,"Да")</f>
        <v>1</v>
      </c>
      <c r="C5" s="4" t="n">
        <f aca="false">COUNTIFS(Отклики!$E:$E,"CV3",Отклики!$I:$I,"Да")</f>
        <v>0</v>
      </c>
      <c r="D5" s="4" t="n">
        <f aca="false">COUNTIFS(Отклики!$E:$E,"CV2",Отклики!$I:$I,"Да")</f>
        <v>0</v>
      </c>
      <c r="E5" s="4" t="n">
        <f aca="false">B5+C5+D5</f>
        <v>1</v>
      </c>
    </row>
    <row r="6" customFormat="false" ht="15" hidden="false" customHeight="false" outlineLevel="0" collapsed="false">
      <c r="A6" s="4" t="s">
        <v>30</v>
      </c>
      <c r="B6" s="5" t="n">
        <f aca="false">IF(B2=0,0,B5/B2)</f>
        <v>1</v>
      </c>
      <c r="C6" s="5" t="n">
        <f aca="false">IF(C2=0,0,C5/C2)</f>
        <v>0</v>
      </c>
      <c r="D6" s="5" t="n">
        <f aca="false">IF(D2=0,0,D5/D2)</f>
        <v>0</v>
      </c>
      <c r="E6" s="5" t="n">
        <f aca="false">IF(E2=0,0,E5/E2)</f>
        <v>1</v>
      </c>
    </row>
    <row r="7" customFormat="false" ht="15" hidden="false" customHeight="false" outlineLevel="0" collapsed="false">
      <c r="A7" s="4" t="s">
        <v>9</v>
      </c>
      <c r="B7" s="4" t="n">
        <f aca="false">COUNTIFS(Отклики!$E:$E,"CV1",Отклики!$J:$J,"Да")</f>
        <v>0</v>
      </c>
      <c r="C7" s="4" t="n">
        <f aca="false">COUNTIFS(Отклики!$E:$E,"CV3",Отклики!$J:$J,"Да")</f>
        <v>0</v>
      </c>
      <c r="D7" s="4" t="n">
        <f aca="false">COUNTIFS(Отклики!$E:$E,"CV2",Отклики!$J:$J,"Да")</f>
        <v>0</v>
      </c>
      <c r="E7" s="4" t="n">
        <f aca="false">B7+C7+D7</f>
        <v>0</v>
      </c>
    </row>
    <row r="8" customFormat="false" ht="15" hidden="false" customHeight="false" outlineLevel="0" collapsed="false">
      <c r="A8" s="4" t="s">
        <v>31</v>
      </c>
      <c r="B8" s="4" t="n">
        <f aca="false">COUNTIFS(Отклики!$E:$E,"CV1",Отклики!$K:$K,"Да")</f>
        <v>0</v>
      </c>
      <c r="C8" s="4" t="n">
        <f aca="false">COUNTIFS(Отклики!$E:$E,"CV3",Отклики!$K:$K,"Да")</f>
        <v>0</v>
      </c>
      <c r="D8" s="4" t="n">
        <f aca="false">COUNTIFS(Отклики!$E:$E,"CV2",Отклики!$K:$K,"Да")</f>
        <v>0</v>
      </c>
      <c r="E8" s="4" t="n">
        <f aca="false">B8+C8+D8</f>
        <v>0</v>
      </c>
    </row>
    <row r="10" customFormat="false" ht="158.2" hidden="false" customHeight="false" outlineLevel="0" collapsed="false">
      <c r="A10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45" customWidth="1"/>
  </cols>
  <sheetData>
    <row r="1">
      <c r="A1" t="inlineStr">
        <is>
          <t xml:space="preserve">CV1 – rename this row to your first CV</t>
        </is>
      </c>
    </row>
    <row r="2">
      <c r="A2" t="inlineStr">
        <is>
          <t xml:space="preserve">CV2 – rename this row to your second CV</t>
        </is>
      </c>
    </row>
    <row r="3">
      <c r="A3" t="inlineStr">
        <is>
          <t xml:space="preserve">CV3 – add as many rows as you have CVs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2026-07-14T09:32:46Z</dcterms:created>
  <dc:creator>openpyxl</dc:creator>
  <dc:description/>
  <dc:language>en-US</dc:language>
  <cp:lastModifiedBy/>
  <dcterms:modified xsi:type="dcterms:W3CDTF">2026-07-14T09:32:46Z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